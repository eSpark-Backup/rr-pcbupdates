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r-pcbupdates\Design Files\rr-PCB-Updat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<sst xmlns="http://schemas.openxmlformats.org/spreadsheetml/2006/main" count="213" uniqueCount="153">
  <si>
    <t>#</t>
  </si>
  <si>
    <t>Item Type</t>
  </si>
  <si>
    <t>Capacitor</t>
  </si>
  <si>
    <t>Diode</t>
  </si>
  <si>
    <t>Male Header</t>
  </si>
  <si>
    <t>Wire To Board Connector</t>
  </si>
  <si>
    <t>JST Connector</t>
  </si>
  <si>
    <t>LED</t>
  </si>
  <si>
    <t>BJTs</t>
  </si>
  <si>
    <t>Transistor</t>
  </si>
  <si>
    <t>Resistor</t>
  </si>
  <si>
    <t>Potentiometers</t>
  </si>
  <si>
    <t>Tactile Switch</t>
  </si>
  <si>
    <t>IC</t>
  </si>
  <si>
    <t>Designator</t>
  </si>
  <si>
    <t>C1, C2</t>
  </si>
  <si>
    <t>C3, C4</t>
  </si>
  <si>
    <t>D1, D3</t>
  </si>
  <si>
    <t>D2, D4</t>
  </si>
  <si>
    <t>J1</t>
  </si>
  <si>
    <t>J2</t>
  </si>
  <si>
    <t>J3</t>
  </si>
  <si>
    <t>J4, J5, J6, J7, J8, J9</t>
  </si>
  <si>
    <t>J10</t>
  </si>
  <si>
    <t>K1, K2</t>
  </si>
  <si>
    <t>LED1, LED5</t>
  </si>
  <si>
    <t>LED2, LED6</t>
  </si>
  <si>
    <t>LED3, LED4</t>
  </si>
  <si>
    <t>Q1, Q2, Q3, Q4, Q7</t>
  </si>
  <si>
    <t>Q5, Q6, Q8</t>
  </si>
  <si>
    <t>R1, R12, R17, R23, R29</t>
  </si>
  <si>
    <t>R2, R5, R6, R7, R8, R11</t>
  </si>
  <si>
    <t>R3, R4, R9, R10, R21</t>
  </si>
  <si>
    <t>R13, R14, R16, R18, R19, R22, R24, R25, R27</t>
  </si>
  <si>
    <t>R15, R20, R26</t>
  </si>
  <si>
    <t>R28</t>
  </si>
  <si>
    <t>R30</t>
  </si>
  <si>
    <t>R34</t>
  </si>
  <si>
    <t>RT1</t>
  </si>
  <si>
    <t>SW1</t>
  </si>
  <si>
    <t>U1</t>
  </si>
  <si>
    <t>U2, U3</t>
  </si>
  <si>
    <t>U4</t>
  </si>
  <si>
    <t>U5</t>
  </si>
  <si>
    <t>Description</t>
  </si>
  <si>
    <t>CAP CER 10000PF 50V X7R 0402</t>
  </si>
  <si>
    <t>CAP CER 10UF 10V X5R 0402</t>
  </si>
  <si>
    <t>0.5mA@40V 40V Single 3A 0.55V@3A SMA(DO-214AC) Schottky Barrier Diodes (SBD) ROHS</t>
  </si>
  <si>
    <t>900mA 1.1V@1A 1kV SOD-123FL Diodes - General Purpose ROHS</t>
  </si>
  <si>
    <t>Gold 250V 3A Straight Square Pins 2.5mm 2P 260℃ 6mm -40℃~+105℃ 3mm 2.54mm Plugin Black Brass 1x2P Plugin,P=2.54mm Pin Headers ROHS</t>
  </si>
  <si>
    <t>4.2mm Wire To Board Connector ROHS</t>
  </si>
  <si>
    <t>Conn Shrouded Header (4 Sides) HDR 2 POS 2.5mm Solder ST Thru-Hole Box</t>
  </si>
  <si>
    <t>1x4P 4P 1 Tin 2.54mm 4 -25℃~+85℃ Brass 4A Right-Angle Push-Pull,P=2.54mm Wire To Board Connector ROHS</t>
  </si>
  <si>
    <t>1x3P 3P 1 2.54mm 3 Right-Angle Push-Pull,P=2.54mm Wire To Board Connector ROHS</t>
  </si>
  <si>
    <t>250V@AC 12V 15A SPDT (1 Form C) Plugin,15.6x19.2mm Power Relays ROHS</t>
  </si>
  <si>
    <t>blue 0603 Light Emitting Diodes (LED) ROHS</t>
  </si>
  <si>
    <t>LED Single Standard Yellow Green 573nm 25mA 2-Pin T-1 Bag</t>
  </si>
  <si>
    <t>20mA 624nm -40℃~+85℃ Red 40° 3mm圆形灯头 60mW Plugin,D=3mm Light Emitting Diodes (LED) ROHS</t>
  </si>
  <si>
    <t>TRANS NPN 45V 0.1A TO92-3</t>
  </si>
  <si>
    <t>TRANS NPN 40V 0.2A SOT523</t>
  </si>
  <si>
    <t>RES 10K OHM 1% 1/16W 0402</t>
  </si>
  <si>
    <t>RES 470 OHM 1% 1/16W 0402</t>
  </si>
  <si>
    <t>RES 2.4K OHM 1% 1/16W 0402</t>
  </si>
  <si>
    <t>RES 4.7K OHM 1% 1/16W 0402</t>
  </si>
  <si>
    <t>RES SMD 27K OHM 0.1% 1/16W 0402</t>
  </si>
  <si>
    <t>RES 100K OHM 1% 1/16W 0402</t>
  </si>
  <si>
    <t>RES 33K OHM 1% 1/16W 0402</t>
  </si>
  <si>
    <t>RESISTOR 0402 JUMPER ZERO OHM</t>
  </si>
  <si>
    <t>±10% 1MΩ Plugin Variable Resistors/Potentiometers ROHS</t>
  </si>
  <si>
    <t>4.5mm 3.5mm 50mA Round Button Straight 4.5mm 260gf 12V Plugin Tactile Switches ROHS</t>
  </si>
  <si>
    <t>IC INVERTER 6CH 1-INP 14SO</t>
  </si>
  <si>
    <t>70V 5kV 50mA 100mV@1mA,20mA 1 6V 1.2V DC SMD-4 Transistor Output Optocoupler ROHS</t>
  </si>
  <si>
    <t>NO SOP-8 Timers ROHS</t>
  </si>
  <si>
    <t>LDO Voltage Regulators 500mA LOW NOISE LDO</t>
  </si>
  <si>
    <t>Footprint</t>
  </si>
  <si>
    <t>Cap-0402</t>
  </si>
  <si>
    <t>SMA</t>
  </si>
  <si>
    <t>SOD-123FL</t>
  </si>
  <si>
    <t>4.2-2*3AW</t>
  </si>
  <si>
    <t>HC-2510-4AW</t>
  </si>
  <si>
    <t>KH-HX2.54-03PW</t>
  </si>
  <si>
    <t>SRD-12VDC-SL-C</t>
  </si>
  <si>
    <t>LED-0603</t>
  </si>
  <si>
    <t>TO-92-3L</t>
  </si>
  <si>
    <t>SOT-523</t>
  </si>
  <si>
    <t>Res-0402</t>
  </si>
  <si>
    <t>3296W-1-105</t>
  </si>
  <si>
    <t>TSC016A03526A</t>
  </si>
  <si>
    <t>SOIC-14</t>
  </si>
  <si>
    <t>PC817C</t>
  </si>
  <si>
    <t>SOP-8</t>
  </si>
  <si>
    <t>SOT-23-5</t>
  </si>
  <si>
    <t>Manufacturer Part Number</t>
  </si>
  <si>
    <t>CC0402KRX7R9BB103</t>
  </si>
  <si>
    <t>CL05A106MP5NUNC</t>
  </si>
  <si>
    <t>SS34</t>
  </si>
  <si>
    <t>SM4007PL A7 46MIL</t>
  </si>
  <si>
    <t>X6511WV-02H-C60D30</t>
  </si>
  <si>
    <t>B2B-XH-A(LF)(SN)</t>
  </si>
  <si>
    <t>NCD0603B3</t>
  </si>
  <si>
    <t>204-10SYGD/S530-E3</t>
  </si>
  <si>
    <t>204-10SURD/S530-A3-L</t>
  </si>
  <si>
    <t>BC547BTA</t>
  </si>
  <si>
    <t>MMBT3904T-7-F</t>
  </si>
  <si>
    <t>RC0402FR-0710KL</t>
  </si>
  <si>
    <t>RC0402FR-07470RL</t>
  </si>
  <si>
    <t>RC0402FR-072K4L</t>
  </si>
  <si>
    <t>RC0402FR-074K7L</t>
  </si>
  <si>
    <t>RT0402BRE0727KL</t>
  </si>
  <si>
    <t>RC0402FR-07100KL</t>
  </si>
  <si>
    <t>RC0402FR-0733KL</t>
  </si>
  <si>
    <t>AC0402FR-070RL</t>
  </si>
  <si>
    <t>HEF4069UBT,653</t>
  </si>
  <si>
    <t>NE555DTR(XBLW)</t>
  </si>
  <si>
    <t>SPX3819M5-L-1-8/TR</t>
  </si>
  <si>
    <t>Manufacturer</t>
  </si>
  <si>
    <t>Yageo</t>
  </si>
  <si>
    <t>Samsung</t>
  </si>
  <si>
    <t>MDD</t>
  </si>
  <si>
    <t>YONGYUTAI</t>
  </si>
  <si>
    <t>XKB</t>
  </si>
  <si>
    <t>BOOMELE</t>
  </si>
  <si>
    <t>JST</t>
  </si>
  <si>
    <t>HCTL</t>
  </si>
  <si>
    <t>Shenzhen Kinghelm Elec</t>
  </si>
  <si>
    <t>Ningbo Forward Relay</t>
  </si>
  <si>
    <t>Foshan NationStar Optoelectronics</t>
  </si>
  <si>
    <t>Everlight</t>
  </si>
  <si>
    <t>Everlight Elec</t>
  </si>
  <si>
    <t>ON Semiconductor / Fairchild</t>
  </si>
  <si>
    <t>Diodes Zetex</t>
  </si>
  <si>
    <t>YAGEO</t>
  </si>
  <si>
    <t>BOCHEN</t>
  </si>
  <si>
    <t>BZCN</t>
  </si>
  <si>
    <t>Nexperia</t>
  </si>
  <si>
    <t>Slkor</t>
  </si>
  <si>
    <t>XBLW</t>
  </si>
  <si>
    <t>MaxLinear</t>
  </si>
  <si>
    <t>10nF</t>
  </si>
  <si>
    <t>10uF</t>
  </si>
  <si>
    <t>10K</t>
  </si>
  <si>
    <t>470R</t>
  </si>
  <si>
    <t>2.4k</t>
  </si>
  <si>
    <t>4.7K</t>
  </si>
  <si>
    <t>27K</t>
  </si>
  <si>
    <t>100K</t>
  </si>
  <si>
    <t>33K</t>
  </si>
  <si>
    <t>0R</t>
  </si>
  <si>
    <t>Quantity</t>
  </si>
  <si>
    <t>-</t>
  </si>
  <si>
    <t>Relay</t>
  </si>
  <si>
    <t>Value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</si>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</sst>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1"/>
  <sheetViews>
    <sheetView tabSelected="1" workbookViewId="0">
      <selection activeCell="M9" sqref="M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44</v>
      </c>
      <c r="F2" s="5" t="s">
        <v>74</v>
      </c>
      <c r="G2" s="6" t="s">
        <v>92</v>
      </c>
      <c r="H2" s="5" t="s">
        <v>115</v>
      </c>
      <c r="I2" s="6" t="s">
        <v>151</v>
      </c>
      <c r="J2" s="5" t="s">
        <v>148</v>
      </c>
      <c r="K2" s="5" t="s">
        <v>152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45</v>
      </c>
      <c r="F3" s="7" t="s">
        <v>75</v>
      </c>
      <c r="G3" s="8" t="s">
        <v>93</v>
      </c>
      <c r="H3" s="7" t="s">
        <v>116</v>
      </c>
      <c r="I3" s="8" t="s">
        <v>138</v>
      </c>
      <c r="J3" s="7">
        <v>2</v>
      </c>
      <c r="K3" s="7"/>
    </row>
    <row r="4" spans="1:11" ht="15.75" thickBot="1" x14ac:dyDescent="0.3">
      <c r="A4" s="1"/>
      <c r="B4" s="11">
        <f t="shared" ref="B4:B30" si="0">ROW(B4) - ROW($B$2)</f>
        <v>2</v>
      </c>
      <c r="C4" s="13" t="s">
        <v>2</v>
      </c>
      <c r="D4" s="9" t="s">
        <v>16</v>
      </c>
      <c r="E4" s="10" t="s">
        <v>46</v>
      </c>
      <c r="F4" s="9" t="s">
        <v>75</v>
      </c>
      <c r="G4" s="10" t="s">
        <v>94</v>
      </c>
      <c r="H4" s="9" t="s">
        <v>117</v>
      </c>
      <c r="I4" s="10" t="s">
        <v>139</v>
      </c>
      <c r="J4" s="9">
        <v>2</v>
      </c>
      <c r="K4" s="9"/>
    </row>
    <row r="5" spans="1:11" ht="36.75" thickBot="1" x14ac:dyDescent="0.3">
      <c r="A5" s="1"/>
      <c r="B5" s="11">
        <f>ROW(B5) - ROW($B$2)</f>
        <v>3</v>
      </c>
      <c r="C5" s="12" t="s">
        <v>3</v>
      </c>
      <c r="D5" s="7" t="s">
        <v>17</v>
      </c>
      <c r="E5" s="8" t="s">
        <v>47</v>
      </c>
      <c r="F5" s="7" t="s">
        <v>76</v>
      </c>
      <c r="G5" s="8" t="s">
        <v>95</v>
      </c>
      <c r="H5" s="7" t="s">
        <v>118</v>
      </c>
      <c r="I5" s="8" t="s">
        <v>149</v>
      </c>
      <c r="J5" s="7">
        <v>2</v>
      </c>
      <c r="K5" s="7"/>
    </row>
    <row r="6" spans="1:11" ht="24.75" thickBot="1" x14ac:dyDescent="0.3">
      <c r="A6" s="1"/>
      <c r="B6" s="11">
        <f t="shared" si="0"/>
        <v>4</v>
      </c>
      <c r="C6" s="13" t="s">
        <v>3</v>
      </c>
      <c r="D6" s="9" t="s">
        <v>18</v>
      </c>
      <c r="E6" s="10" t="s">
        <v>48</v>
      </c>
      <c r="F6" s="9" t="s">
        <v>77</v>
      </c>
      <c r="G6" s="10" t="s">
        <v>96</v>
      </c>
      <c r="H6" s="9" t="s">
        <v>119</v>
      </c>
      <c r="I6" s="8" t="s">
        <v>149</v>
      </c>
      <c r="J6" s="9">
        <v>2</v>
      </c>
      <c r="K6" s="9"/>
    </row>
    <row r="7" spans="1:11" ht="48.75" thickBot="1" x14ac:dyDescent="0.3">
      <c r="A7" s="1"/>
      <c r="B7" s="11">
        <f>ROW(B7) - ROW($B$2)</f>
        <v>5</v>
      </c>
      <c r="C7" s="12" t="s">
        <v>4</v>
      </c>
      <c r="D7" s="7" t="s">
        <v>19</v>
      </c>
      <c r="E7" s="8" t="s">
        <v>49</v>
      </c>
      <c r="F7" s="7" t="s">
        <v>149</v>
      </c>
      <c r="G7" s="8" t="s">
        <v>97</v>
      </c>
      <c r="H7" s="7" t="s">
        <v>120</v>
      </c>
      <c r="I7" s="8" t="s">
        <v>149</v>
      </c>
      <c r="J7" s="7">
        <v>1</v>
      </c>
      <c r="K7" s="7"/>
    </row>
    <row r="8" spans="1:11" ht="26.25" thickBot="1" x14ac:dyDescent="0.3">
      <c r="A8" s="1"/>
      <c r="B8" s="11">
        <f t="shared" si="0"/>
        <v>6</v>
      </c>
      <c r="C8" s="13" t="s">
        <v>5</v>
      </c>
      <c r="D8" s="9" t="s">
        <v>20</v>
      </c>
      <c r="E8" s="10" t="s">
        <v>50</v>
      </c>
      <c r="F8" s="7" t="s">
        <v>149</v>
      </c>
      <c r="G8" s="10" t="s">
        <v>78</v>
      </c>
      <c r="H8" s="9" t="s">
        <v>121</v>
      </c>
      <c r="I8" s="8" t="s">
        <v>149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6</v>
      </c>
      <c r="D9" s="7" t="s">
        <v>21</v>
      </c>
      <c r="E9" s="8" t="s">
        <v>51</v>
      </c>
      <c r="F9" s="7" t="s">
        <v>149</v>
      </c>
      <c r="G9" s="8" t="s">
        <v>98</v>
      </c>
      <c r="H9" s="7" t="s">
        <v>122</v>
      </c>
      <c r="I9" s="8" t="s">
        <v>149</v>
      </c>
      <c r="J9" s="7">
        <v>1</v>
      </c>
      <c r="K9" s="7"/>
    </row>
    <row r="10" spans="1:11" ht="48.75" thickBot="1" x14ac:dyDescent="0.3">
      <c r="A10" s="1"/>
      <c r="B10" s="11">
        <f t="shared" si="0"/>
        <v>8</v>
      </c>
      <c r="C10" s="13" t="s">
        <v>5</v>
      </c>
      <c r="D10" s="9" t="s">
        <v>22</v>
      </c>
      <c r="E10" s="10" t="s">
        <v>52</v>
      </c>
      <c r="F10" s="7" t="s">
        <v>149</v>
      </c>
      <c r="G10" s="10" t="s">
        <v>79</v>
      </c>
      <c r="H10" s="9" t="s">
        <v>123</v>
      </c>
      <c r="I10" s="8" t="s">
        <v>149</v>
      </c>
      <c r="J10" s="9">
        <v>6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5</v>
      </c>
      <c r="D11" s="7" t="s">
        <v>23</v>
      </c>
      <c r="E11" s="8" t="s">
        <v>53</v>
      </c>
      <c r="F11" s="7" t="s">
        <v>149</v>
      </c>
      <c r="G11" s="8" t="s">
        <v>80</v>
      </c>
      <c r="H11" s="7" t="s">
        <v>124</v>
      </c>
      <c r="I11" s="8" t="s">
        <v>149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150</v>
      </c>
      <c r="D12" s="9" t="s">
        <v>24</v>
      </c>
      <c r="E12" s="10" t="s">
        <v>54</v>
      </c>
      <c r="F12" s="7" t="s">
        <v>149</v>
      </c>
      <c r="G12" s="10" t="s">
        <v>81</v>
      </c>
      <c r="H12" s="9" t="s">
        <v>125</v>
      </c>
      <c r="I12" s="8" t="s">
        <v>149</v>
      </c>
      <c r="J12" s="9">
        <v>2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7</v>
      </c>
      <c r="D13" s="7" t="s">
        <v>25</v>
      </c>
      <c r="E13" s="8" t="s">
        <v>55</v>
      </c>
      <c r="F13" s="7" t="s">
        <v>82</v>
      </c>
      <c r="G13" s="8" t="s">
        <v>99</v>
      </c>
      <c r="H13" s="7" t="s">
        <v>126</v>
      </c>
      <c r="I13" s="8" t="s">
        <v>149</v>
      </c>
      <c r="J13" s="7">
        <v>2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7</v>
      </c>
      <c r="D14" s="9" t="s">
        <v>26</v>
      </c>
      <c r="E14" s="10" t="s">
        <v>56</v>
      </c>
      <c r="F14" s="9" t="s">
        <v>149</v>
      </c>
      <c r="G14" s="10" t="s">
        <v>100</v>
      </c>
      <c r="H14" s="9" t="s">
        <v>127</v>
      </c>
      <c r="I14" s="8" t="s">
        <v>149</v>
      </c>
      <c r="J14" s="9">
        <v>2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7</v>
      </c>
      <c r="D15" s="7" t="s">
        <v>27</v>
      </c>
      <c r="E15" s="8" t="s">
        <v>57</v>
      </c>
      <c r="F15" s="9" t="s">
        <v>149</v>
      </c>
      <c r="G15" s="8" t="s">
        <v>101</v>
      </c>
      <c r="H15" s="7" t="s">
        <v>128</v>
      </c>
      <c r="I15" s="8" t="s">
        <v>149</v>
      </c>
      <c r="J15" s="7">
        <v>2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8</v>
      </c>
      <c r="D16" s="9" t="s">
        <v>28</v>
      </c>
      <c r="E16" s="10" t="s">
        <v>58</v>
      </c>
      <c r="F16" s="9" t="s">
        <v>83</v>
      </c>
      <c r="G16" s="10" t="s">
        <v>102</v>
      </c>
      <c r="H16" s="9" t="s">
        <v>129</v>
      </c>
      <c r="I16" s="8" t="s">
        <v>149</v>
      </c>
      <c r="J16" s="9">
        <v>5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9</v>
      </c>
      <c r="D17" s="7" t="s">
        <v>29</v>
      </c>
      <c r="E17" s="8" t="s">
        <v>59</v>
      </c>
      <c r="F17" s="7" t="s">
        <v>84</v>
      </c>
      <c r="G17" s="8" t="s">
        <v>103</v>
      </c>
      <c r="H17" s="7" t="s">
        <v>130</v>
      </c>
      <c r="I17" s="8" t="s">
        <v>149</v>
      </c>
      <c r="J17" s="7">
        <v>3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10</v>
      </c>
      <c r="D18" s="9" t="s">
        <v>30</v>
      </c>
      <c r="E18" s="10" t="s">
        <v>60</v>
      </c>
      <c r="F18" s="9" t="s">
        <v>85</v>
      </c>
      <c r="G18" s="10" t="s">
        <v>104</v>
      </c>
      <c r="H18" s="9" t="s">
        <v>116</v>
      </c>
      <c r="I18" s="10" t="s">
        <v>140</v>
      </c>
      <c r="J18" s="9">
        <v>5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10</v>
      </c>
      <c r="D19" s="7" t="s">
        <v>31</v>
      </c>
      <c r="E19" s="8" t="s">
        <v>61</v>
      </c>
      <c r="F19" s="7" t="s">
        <v>85</v>
      </c>
      <c r="G19" s="8" t="s">
        <v>105</v>
      </c>
      <c r="H19" s="7" t="s">
        <v>116</v>
      </c>
      <c r="I19" s="8" t="s">
        <v>141</v>
      </c>
      <c r="J19" s="7">
        <v>6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10</v>
      </c>
      <c r="D20" s="9" t="s">
        <v>32</v>
      </c>
      <c r="E20" s="10" t="s">
        <v>62</v>
      </c>
      <c r="F20" s="9" t="s">
        <v>85</v>
      </c>
      <c r="G20" s="10" t="s">
        <v>106</v>
      </c>
      <c r="H20" s="9" t="s">
        <v>116</v>
      </c>
      <c r="I20" s="10" t="s">
        <v>142</v>
      </c>
      <c r="J20" s="9">
        <v>5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10</v>
      </c>
      <c r="D21" s="7" t="s">
        <v>33</v>
      </c>
      <c r="E21" s="8" t="s">
        <v>63</v>
      </c>
      <c r="F21" s="7" t="s">
        <v>85</v>
      </c>
      <c r="G21" s="8" t="s">
        <v>107</v>
      </c>
      <c r="H21" s="7" t="s">
        <v>116</v>
      </c>
      <c r="I21" s="8" t="s">
        <v>143</v>
      </c>
      <c r="J21" s="7">
        <v>9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10</v>
      </c>
      <c r="D22" s="9" t="s">
        <v>34</v>
      </c>
      <c r="E22" s="10" t="s">
        <v>64</v>
      </c>
      <c r="F22" s="9" t="s">
        <v>85</v>
      </c>
      <c r="G22" s="10" t="s">
        <v>108</v>
      </c>
      <c r="H22" s="9" t="s">
        <v>116</v>
      </c>
      <c r="I22" s="10" t="s">
        <v>144</v>
      </c>
      <c r="J22" s="9">
        <v>3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35</v>
      </c>
      <c r="E23" s="8" t="s">
        <v>65</v>
      </c>
      <c r="F23" s="7" t="s">
        <v>85</v>
      </c>
      <c r="G23" s="8" t="s">
        <v>109</v>
      </c>
      <c r="H23" s="7" t="s">
        <v>116</v>
      </c>
      <c r="I23" s="8" t="s">
        <v>145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10</v>
      </c>
      <c r="D24" s="9" t="s">
        <v>36</v>
      </c>
      <c r="E24" s="10" t="s">
        <v>66</v>
      </c>
      <c r="F24" s="9" t="s">
        <v>85</v>
      </c>
      <c r="G24" s="10" t="s">
        <v>110</v>
      </c>
      <c r="H24" s="9" t="s">
        <v>131</v>
      </c>
      <c r="I24" s="10" t="s">
        <v>146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10</v>
      </c>
      <c r="D25" s="7" t="s">
        <v>37</v>
      </c>
      <c r="E25" s="8" t="s">
        <v>67</v>
      </c>
      <c r="F25" s="7" t="s">
        <v>85</v>
      </c>
      <c r="G25" s="8" t="s">
        <v>111</v>
      </c>
      <c r="H25" s="7" t="s">
        <v>116</v>
      </c>
      <c r="I25" s="8" t="s">
        <v>147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11</v>
      </c>
      <c r="D26" s="9" t="s">
        <v>38</v>
      </c>
      <c r="E26" s="10" t="s">
        <v>68</v>
      </c>
      <c r="F26" s="9" t="s">
        <v>149</v>
      </c>
      <c r="G26" s="10" t="s">
        <v>86</v>
      </c>
      <c r="H26" s="9" t="s">
        <v>132</v>
      </c>
      <c r="I26" s="10" t="s">
        <v>149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12</v>
      </c>
      <c r="D27" s="7" t="s">
        <v>39</v>
      </c>
      <c r="E27" s="8" t="s">
        <v>69</v>
      </c>
      <c r="F27" s="9" t="s">
        <v>149</v>
      </c>
      <c r="G27" s="8" t="s">
        <v>87</v>
      </c>
      <c r="H27" s="7" t="s">
        <v>133</v>
      </c>
      <c r="I27" s="10" t="s">
        <v>149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13</v>
      </c>
      <c r="D28" s="9" t="s">
        <v>40</v>
      </c>
      <c r="E28" s="10" t="s">
        <v>70</v>
      </c>
      <c r="F28" s="9" t="s">
        <v>88</v>
      </c>
      <c r="G28" s="10" t="s">
        <v>112</v>
      </c>
      <c r="H28" s="9" t="s">
        <v>134</v>
      </c>
      <c r="I28" s="10" t="s">
        <v>149</v>
      </c>
      <c r="J28" s="9">
        <v>1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13</v>
      </c>
      <c r="D29" s="7" t="s">
        <v>41</v>
      </c>
      <c r="E29" s="8" t="s">
        <v>71</v>
      </c>
      <c r="F29" s="7" t="s">
        <v>89</v>
      </c>
      <c r="G29" s="8" t="s">
        <v>89</v>
      </c>
      <c r="H29" s="7" t="s">
        <v>135</v>
      </c>
      <c r="I29" s="10" t="s">
        <v>149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13</v>
      </c>
      <c r="D30" s="9" t="s">
        <v>42</v>
      </c>
      <c r="E30" s="10" t="s">
        <v>72</v>
      </c>
      <c r="F30" s="9" t="s">
        <v>90</v>
      </c>
      <c r="G30" s="10" t="s">
        <v>113</v>
      </c>
      <c r="H30" s="9" t="s">
        <v>136</v>
      </c>
      <c r="I30" s="10" t="s">
        <v>149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13</v>
      </c>
      <c r="D31" s="7" t="s">
        <v>43</v>
      </c>
      <c r="E31" s="8" t="s">
        <v>73</v>
      </c>
      <c r="F31" s="7" t="s">
        <v>91</v>
      </c>
      <c r="G31" s="8" t="s">
        <v>114</v>
      </c>
      <c r="H31" s="7" t="s">
        <v>137</v>
      </c>
      <c r="I31" s="10" t="s">
        <v>149</v>
      </c>
      <c r="J31" s="7">
        <v>1</v>
      </c>
      <c r="K31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2024-05-13T13:04:38Z</dcterms:modified>
</cp:coreProperties>
</file>